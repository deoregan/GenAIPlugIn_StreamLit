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b\Documents\Coding\report_automation\scr_report\input\tables\"/>
    </mc:Choice>
  </mc:AlternateContent>
  <xr:revisionPtr revIDLastSave="0" documentId="13_ncr:1_{4F999598-CAA1-4FDF-8267-A3CF8B40D1C7}" xr6:coauthVersionLast="47" xr6:coauthVersionMax="47" xr10:uidLastSave="{00000000-0000-0000-0000-000000000000}"/>
  <bookViews>
    <workbookView xWindow="3552" yWindow="3360" windowWidth="17280" windowHeight="8880" xr2:uid="{FD8336C5-250B-4A93-85AE-67D12B2D3ED4}"/>
  </bookViews>
  <sheets>
    <sheet name="SCR Table" sheetId="1" r:id="rId1"/>
    <sheet name="Char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E2" i="1" l="1"/>
  <c r="C7" i="1"/>
  <c r="C10" i="1" s="1"/>
  <c r="B7" i="1"/>
  <c r="D11" i="1"/>
  <c r="E11" i="1" s="1"/>
  <c r="D8" i="1"/>
  <c r="E8" i="1" s="1"/>
  <c r="D5" i="1"/>
  <c r="E5" i="1" s="1"/>
  <c r="D4" i="1"/>
  <c r="E4" i="1" s="1"/>
  <c r="D3" i="1"/>
  <c r="E3" i="1" s="1"/>
  <c r="B10" i="1" l="1"/>
  <c r="D7" i="1"/>
  <c r="E7" i="1" s="1"/>
  <c r="C12" i="1"/>
  <c r="D9" i="1"/>
  <c r="E9" i="1" s="1"/>
  <c r="D6" i="1"/>
  <c r="E6" i="1" s="1"/>
  <c r="D10" i="1" l="1"/>
  <c r="E10" i="1" s="1"/>
  <c r="B12" i="1"/>
  <c r="D12" i="1" s="1"/>
  <c r="E12" i="1" s="1"/>
</calcChain>
</file>

<file path=xl/sharedStrings.xml><?xml version="1.0" encoding="utf-8"?>
<sst xmlns="http://schemas.openxmlformats.org/spreadsheetml/2006/main" count="14" uniqueCount="14">
  <si>
    <t>Basic SCR</t>
  </si>
  <si>
    <t>Operational Risk</t>
  </si>
  <si>
    <t>Total SCR</t>
  </si>
  <si>
    <t>€m</t>
  </si>
  <si>
    <t>Movement</t>
  </si>
  <si>
    <t>Movement %</t>
  </si>
  <si>
    <t>Own Funds</t>
  </si>
  <si>
    <t>Solvency Ratio</t>
  </si>
  <si>
    <t>Deferred Tax Adjustment</t>
  </si>
  <si>
    <t>Market Risk</t>
  </si>
  <si>
    <t>Counterparty Default Risk</t>
  </si>
  <si>
    <t>Life Risk</t>
  </si>
  <si>
    <t>Health Risk</t>
  </si>
  <si>
    <t>Diversification 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</si>
</sst>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(* #,##0.0_);_(* \(#,##0.0\);_(* &quot;-&quot;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3" borderId="1" xfId="0" applyFont="1" applyFill="1" applyBorder="1"/>
    <xf numFmtId="0" fontId="2" fillId="3" borderId="2" xfId="0" applyFont="1" applyFill="1" applyBorder="1" applyAlignment="1">
      <alignment horizontal="right"/>
    </xf>
    <xf numFmtId="0" fontId="2" fillId="3" borderId="3" xfId="0" applyFont="1" applyFill="1" applyBorder="1" applyAlignment="1">
      <alignment horizontal="right"/>
    </xf>
    <xf numFmtId="0" fontId="3" fillId="0" borderId="0" xfId="0" applyFont="1"/>
    <xf numFmtId="0" fontId="3" fillId="0" borderId="4" xfId="0" applyFont="1" applyBorder="1"/>
    <xf numFmtId="164" fontId="3" fillId="0" borderId="5" xfId="1" applyNumberFormat="1" applyFont="1" applyBorder="1" applyAlignment="1">
      <alignment horizontal="right"/>
    </xf>
    <xf numFmtId="0" fontId="4" fillId="2" borderId="8" xfId="0" applyFont="1" applyFill="1" applyBorder="1"/>
    <xf numFmtId="164" fontId="4" fillId="2" borderId="10" xfId="1" applyNumberFormat="1" applyFont="1" applyFill="1" applyBorder="1" applyAlignment="1">
      <alignment horizontal="right"/>
    </xf>
    <xf numFmtId="164" fontId="4" fillId="2" borderId="7" xfId="1" applyNumberFormat="1" applyFont="1" applyFill="1" applyBorder="1" applyAlignment="1">
      <alignment horizontal="right"/>
    </xf>
    <xf numFmtId="164" fontId="4" fillId="2" borderId="9" xfId="1" applyNumberFormat="1" applyFont="1" applyFill="1" applyBorder="1" applyAlignment="1">
      <alignment horizontal="right"/>
    </xf>
    <xf numFmtId="164" fontId="4" fillId="2" borderId="6" xfId="1" applyNumberFormat="1" applyFont="1" applyFill="1" applyBorder="1" applyAlignment="1">
      <alignment horizontal="right"/>
    </xf>
    <xf numFmtId="165" fontId="3" fillId="0" borderId="0" xfId="0" applyNumberFormat="1" applyFont="1" applyAlignment="1">
      <alignment horizontal="right"/>
    </xf>
    <xf numFmtId="165" fontId="4" fillId="2" borderId="9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Composition</a:t>
            </a:r>
            <a:r>
              <a:rPr lang="en-US" baseline="0"/>
              <a:t> of the Basic SCR - 2024</a:t>
            </a:r>
            <a:endParaRPr lang="en-US"/>
          </a:p>
        </c:rich>
      </c:tx>
      <c:layout>
        <c:manualLayout>
          <c:xMode val="edge"/>
          <c:yMode val="edge"/>
          <c:x val="0.2053158308792302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7B-4364-BFFB-1100C4DCFD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7B-4364-BFFB-1100C4DCFD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7B-4364-BFFB-1100C4DCFDF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7B-4364-BFFB-1100C4DCFD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'SCR Table'!$A$2:$A$5</c:f>
              <c:strCache>
                <c:ptCount val="4"/>
                <c:pt idx="0">
                  <c:v>Market Risk</c:v>
                </c:pt>
                <c:pt idx="1">
                  <c:v>Counterparty Default Risk</c:v>
                </c:pt>
                <c:pt idx="2">
                  <c:v>Life Risk</c:v>
                </c:pt>
                <c:pt idx="3">
                  <c:v>Health Risk</c:v>
                </c:pt>
              </c:strCache>
            </c:strRef>
          </c:cat>
          <c:val>
            <c:numRef>
              <c:f>'SCR Table'!$B$2:$B$5</c:f>
              <c:numCache>
                <c:formatCode>_(* #,##0.0_);_(* \(#,##0.0\);_(* "-"_);_(@_)</c:formatCode>
                <c:ptCount val="4"/>
                <c:pt idx="0">
                  <c:v>105</c:v>
                </c:pt>
                <c:pt idx="1">
                  <c:v>50.5</c:v>
                </c:pt>
                <c:pt idx="2">
                  <c:v>80.3</c:v>
                </c:pt>
                <c:pt idx="3">
                  <c:v>55.3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7B-4364-BFFB-1100C4DCFDF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Composition</a:t>
            </a:r>
            <a:r>
              <a:rPr lang="en-US" baseline="0"/>
              <a:t> of the Basic SCR - 2023</a:t>
            </a:r>
            <a:endParaRPr lang="en-US"/>
          </a:p>
        </c:rich>
      </c:tx>
      <c:layout>
        <c:manualLayout>
          <c:xMode val="edge"/>
          <c:yMode val="edge"/>
          <c:x val="0.2053158308792302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29-45F9-88F9-0CD781C4B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29-45F9-88F9-0CD781C4B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029-45F9-88F9-0CD781C4B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029-45F9-88F9-0CD781C4B6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'SCR Table'!$A$2:$A$5</c:f>
              <c:strCache>
                <c:ptCount val="4"/>
                <c:pt idx="0">
                  <c:v>Market Risk</c:v>
                </c:pt>
                <c:pt idx="1">
                  <c:v>Counterparty Default Risk</c:v>
                </c:pt>
                <c:pt idx="2">
                  <c:v>Life Risk</c:v>
                </c:pt>
                <c:pt idx="3">
                  <c:v>Health Risk</c:v>
                </c:pt>
              </c:strCache>
            </c:strRef>
          </c:cat>
          <c:val>
            <c:numRef>
              <c:f>'SCR Table'!$C$2:$C$5</c:f>
              <c:numCache>
                <c:formatCode>_(* #,##0.0_);_(* \(#,##0.0\);_(* "-"_);_(@_)</c:formatCode>
                <c:ptCount val="4"/>
                <c:pt idx="0">
                  <c:v>111.1</c:v>
                </c:pt>
                <c:pt idx="1">
                  <c:v>48.4</c:v>
                </c:pt>
                <c:pt idx="2">
                  <c:v>69.900000000000006</c:v>
                </c:pt>
                <c:pt idx="3">
                  <c:v>20.100000000000001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029-45F9-88F9-0CD781C4B63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175260</xdr:colOff>
      <xdr:row>13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1F8735-6D9B-4822-8350-9891E02C3F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15</xdr:row>
      <xdr:rowOff>22860</xdr:rowOff>
    </xdr:from>
    <xdr:to>
      <xdr:col>7</xdr:col>
      <xdr:colOff>175260</xdr:colOff>
      <xdr:row>27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0A1693-984B-4735-BE7B-F1A317289F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9FF34-19CA-4005-A5F1-D0FE0ED00D2B}">
  <dimension ref="A1:E12"/>
  <sheetViews>
    <sheetView showGridLines="0" tabSelected="1" zoomScale="110" zoomScaleNormal="110" workbookViewId="0">
      <selection activeCell="B2" sqref="B2"/>
    </sheetView>
  </sheetViews>
  <sheetFormatPr defaultRowHeight="12" x14ac:dyDescent="0.25"/>
  <cols>
    <col min="1" max="1" width="22" style="4" customWidth="1"/>
    <col min="2" max="5" width="12.77734375" style="4" customWidth="1"/>
    <col min="6" max="16384" width="8.88671875" style="4"/>
  </cols>
  <sheetData>
    <row r="1" spans="1:5" ht="18" customHeight="1" x14ac:dyDescent="0.25">
      <c r="A1" s="1" t="s">
        <v>3</v>
      </c>
      <c r="B1" s="2">
        <v>2024</v>
      </c>
      <c r="C1" s="2">
        <v>2023</v>
      </c>
      <c r="D1" s="2" t="s">
        <v>4</v>
      </c>
      <c r="E1" s="3" t="s">
        <v>5</v>
      </c>
    </row>
    <row r="2" spans="1:5" x14ac:dyDescent="0.25">
      <c r="A2" s="5" t="s">
        <v>9</v>
      </c>
      <c r="B2" s="12">
        <v>105</v>
      </c>
      <c r="C2" s="12">
        <v>111.1</v>
      </c>
      <c r="D2" s="12">
        <f>B2-C2</f>
        <v>-6.0999999999999943</v>
      </c>
      <c r="E2" s="6">
        <f>IF(C2=0,0,D2/C2)</f>
        <v>-5.4905490549054858E-2</v>
      </c>
    </row>
    <row r="3" spans="1:5" x14ac:dyDescent="0.25">
      <c r="A3" s="5" t="s">
        <v>10</v>
      </c>
      <c r="B3" s="12">
        <v>50.5</v>
      </c>
      <c r="C3" s="12">
        <v>48.4</v>
      </c>
      <c r="D3" s="12">
        <f t="shared" ref="D3:D10" si="0">B3-C3</f>
        <v>2.1000000000000014</v>
      </c>
      <c r="E3" s="6">
        <f t="shared" ref="E3:E10" si="1">IF(C3=0,0,D3/C3)</f>
        <v>4.3388429752066145E-2</v>
      </c>
    </row>
    <row r="4" spans="1:5" x14ac:dyDescent="0.25">
      <c r="A4" s="5" t="s">
        <v>11</v>
      </c>
      <c r="B4" s="12">
        <v>80.3</v>
      </c>
      <c r="C4" s="12">
        <v>69.900000000000006</v>
      </c>
      <c r="D4" s="12">
        <f t="shared" si="0"/>
        <v>10.399999999999991</v>
      </c>
      <c r="E4" s="6">
        <f t="shared" si="1"/>
        <v>0.14878397711015723</v>
      </c>
    </row>
    <row r="5" spans="1:5" x14ac:dyDescent="0.25">
      <c r="A5" s="5" t="s">
        <v>12</v>
      </c>
      <c r="B5" s="12">
        <v>55.3</v>
      </c>
      <c r="C5" s="12">
        <v>20.100000000000001</v>
      </c>
      <c r="D5" s="12">
        <f t="shared" si="0"/>
        <v>35.199999999999996</v>
      </c>
      <c r="E5" s="6">
        <f t="shared" si="1"/>
        <v>1.7512437810945269</v>
      </c>
    </row>
    <row r="6" spans="1:5" x14ac:dyDescent="0.25">
      <c r="A6" s="5" t="s">
        <v>13</v>
      </c>
      <c r="B6" s="12">
        <v>-78</v>
      </c>
      <c r="C6" s="12">
        <v>-62.4</v>
      </c>
      <c r="D6" s="12">
        <f t="shared" si="0"/>
        <v>-15.600000000000001</v>
      </c>
      <c r="E6" s="6">
        <f t="shared" si="1"/>
        <v>0.25000000000000006</v>
      </c>
    </row>
    <row r="7" spans="1:5" x14ac:dyDescent="0.25">
      <c r="A7" s="7" t="s">
        <v>0</v>
      </c>
      <c r="B7" s="13">
        <f>SUM(B2:B6)</f>
        <v>213.10000000000002</v>
      </c>
      <c r="C7" s="13">
        <f>SUM(C2:C6)</f>
        <v>187.1</v>
      </c>
      <c r="D7" s="13">
        <f t="shared" si="0"/>
        <v>26.000000000000028</v>
      </c>
      <c r="E7" s="8">
        <f t="shared" si="1"/>
        <v>0.13896312132549454</v>
      </c>
    </row>
    <row r="8" spans="1:5" x14ac:dyDescent="0.25">
      <c r="A8" s="5" t="s">
        <v>1</v>
      </c>
      <c r="B8" s="12">
        <v>19.899999999999999</v>
      </c>
      <c r="C8" s="12">
        <v>17.8</v>
      </c>
      <c r="D8" s="12">
        <f t="shared" si="0"/>
        <v>2.0999999999999979</v>
      </c>
      <c r="E8" s="6">
        <f t="shared" si="1"/>
        <v>0.11797752808988751</v>
      </c>
    </row>
    <row r="9" spans="1:5" x14ac:dyDescent="0.25">
      <c r="A9" s="5" t="s">
        <v>8</v>
      </c>
      <c r="B9" s="12">
        <v>-31.1</v>
      </c>
      <c r="C9" s="12">
        <v>-25.6</v>
      </c>
      <c r="D9" s="12">
        <f t="shared" si="0"/>
        <v>-5.5</v>
      </c>
      <c r="E9" s="6">
        <f t="shared" si="1"/>
        <v>0.21484375</v>
      </c>
    </row>
    <row r="10" spans="1:5" x14ac:dyDescent="0.25">
      <c r="A10" s="7" t="s">
        <v>2</v>
      </c>
      <c r="B10" s="13">
        <f>SUM(B7:B9)</f>
        <v>201.90000000000003</v>
      </c>
      <c r="C10" s="13">
        <f>SUM(C7:C9)</f>
        <v>179.3</v>
      </c>
      <c r="D10" s="13">
        <f t="shared" si="0"/>
        <v>22.600000000000023</v>
      </c>
      <c r="E10" s="8">
        <f t="shared" si="1"/>
        <v>0.1260457334076967</v>
      </c>
    </row>
    <row r="11" spans="1:5" x14ac:dyDescent="0.25">
      <c r="A11" s="7" t="s">
        <v>6</v>
      </c>
      <c r="B11" s="13">
        <v>300.5</v>
      </c>
      <c r="C11" s="13">
        <v>270.39999999999998</v>
      </c>
      <c r="D11" s="14">
        <f t="shared" ref="D11" si="2">B11-C11</f>
        <v>30.100000000000023</v>
      </c>
      <c r="E11" s="9">
        <f t="shared" ref="E11" si="3">IF(C11=0,0,D11/C11)</f>
        <v>0.11131656804733737</v>
      </c>
    </row>
    <row r="12" spans="1:5" x14ac:dyDescent="0.25">
      <c r="A12" s="7" t="s">
        <v>7</v>
      </c>
      <c r="B12" s="10">
        <f>B11/B10</f>
        <v>1.4883605745418522</v>
      </c>
      <c r="C12" s="10">
        <f>C11/C10</f>
        <v>1.5080870050195201</v>
      </c>
      <c r="D12" s="11">
        <f t="shared" ref="D12" si="4">B12-C12</f>
        <v>-1.9726430477667867E-2</v>
      </c>
      <c r="E12" s="9">
        <f t="shared" ref="E12" si="5">IF(C12=0,0,D12/C12)</f>
        <v>-1.3080432635524591E-2</v>
      </c>
    </row>
  </sheetData>
  <pageMargins left="0.7" right="0.7" top="0.75" bottom="0.75" header="0.3" footer="0.3"/>
  <pageSetup orientation="portrait" horizontalDpi="4294967293" verticalDpi="0" r:id="rId1"/>
  <ignoredErrors>
    <ignoredError sqref="B7:C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09AD-B595-4DF2-AE4F-D27682A7B4FD}">
  <dimension ref="A1"/>
  <sheetViews>
    <sheetView workbookViewId="0">
      <selection activeCell="B15" sqref="B1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 Table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Bence Zaupper</dc:creator>
  <cp:lastModifiedBy>Bence Zaupper (Finalyse)</cp:lastModifiedBy>
  <dcterms:created xsi:type="dcterms:W3CDTF">2025-03-12T07:11:37Z</dcterms:created>
  <dcterms:modified xsi:type="dcterms:W3CDTF">2025-04-03T08:15:34Z</dcterms:modified>
</cp:coreProperties>
</file>