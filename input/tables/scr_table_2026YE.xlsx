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b\Documents\Coding\report_automation\scr_report\input\tables\"/>
    </mc:Choice>
  </mc:AlternateContent>
  <xr:revisionPtr revIDLastSave="0" documentId="13_ncr:1_{DAF96573-13E3-4007-8122-ED65C79526C2}" xr6:coauthVersionLast="47" xr6:coauthVersionMax="47" xr10:uidLastSave="{00000000-0000-0000-0000-000000000000}"/>
  <bookViews>
    <workbookView xWindow="-108" yWindow="-108" windowWidth="23256" windowHeight="12456" xr2:uid="{FD8336C5-250B-4A93-85AE-67D12B2D3ED4}"/>
  </bookViews>
  <sheets>
    <sheet name="SCR Table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2" i="1" s="1"/>
  <c r="C7" i="1"/>
  <c r="B7" i="1"/>
  <c r="D11" i="1"/>
  <c r="E11" i="1" s="1"/>
  <c r="D8" i="1"/>
  <c r="E8" i="1" s="1"/>
  <c r="D5" i="1"/>
  <c r="E5" i="1" s="1"/>
  <c r="D4" i="1"/>
  <c r="E4" i="1" s="1"/>
  <c r="D3" i="1"/>
  <c r="E3" i="1" s="1"/>
  <c r="D2" i="1"/>
  <c r="E2" i="1" s="1"/>
  <c r="B10" i="1" l="1"/>
  <c r="D7" i="1"/>
  <c r="E7" i="1" s="1"/>
  <c r="D6" i="1"/>
  <c r="E6" i="1" s="1"/>
  <c r="D9" i="1" l="1"/>
  <c r="E9" i="1" s="1"/>
  <c r="D10" i="1"/>
  <c r="E10" i="1" s="1"/>
  <c r="B12" i="1"/>
  <c r="D12" i="1" s="1"/>
  <c r="E12" i="1" s="1"/>
</calcChain>
</file>

<file path=xl/sharedStrings.xml><?xml version="1.0" encoding="utf-8"?>
<sst xmlns="http://schemas.openxmlformats.org/spreadsheetml/2006/main" count="14" uniqueCount="14">
  <si>
    <t>Diversification</t>
  </si>
  <si>
    <t>Basic SCR</t>
  </si>
  <si>
    <t>Operational Risk</t>
  </si>
  <si>
    <t>Total SCR</t>
  </si>
  <si>
    <t>€m</t>
  </si>
  <si>
    <t>Movement</t>
  </si>
  <si>
    <t>Movement %</t>
  </si>
  <si>
    <t>Own Funds</t>
  </si>
  <si>
    <t>Solvency Ratio</t>
  </si>
  <si>
    <t>Market</t>
  </si>
  <si>
    <t>Counterparty Default</t>
  </si>
  <si>
    <t>Life</t>
  </si>
  <si>
    <t>Health</t>
  </si>
  <si>
    <t>Deferred Tax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</si>
</sst>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.0_);_(* \(#,##0.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4" xfId="0" applyFont="1" applyBorder="1"/>
    <xf numFmtId="164" fontId="3" fillId="0" borderId="5" xfId="1" applyNumberFormat="1" applyFont="1" applyBorder="1" applyAlignment="1">
      <alignment horizontal="right"/>
    </xf>
    <xf numFmtId="0" fontId="4" fillId="2" borderId="8" xfId="0" applyFont="1" applyFill="1" applyBorder="1"/>
    <xf numFmtId="164" fontId="4" fillId="2" borderId="10" xfId="1" applyNumberFormat="1" applyFont="1" applyFill="1" applyBorder="1" applyAlignment="1">
      <alignment horizontal="right"/>
    </xf>
    <xf numFmtId="164" fontId="4" fillId="2" borderId="7" xfId="1" applyNumberFormat="1" applyFont="1" applyFill="1" applyBorder="1" applyAlignment="1">
      <alignment horizontal="right"/>
    </xf>
    <xf numFmtId="164" fontId="4" fillId="2" borderId="9" xfId="1" applyNumberFormat="1" applyFont="1" applyFill="1" applyBorder="1" applyAlignment="1">
      <alignment horizontal="right"/>
    </xf>
    <xf numFmtId="164" fontId="4" fillId="2" borderId="6" xfId="1" applyNumberFormat="1" applyFont="1" applyFill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4" fillId="2" borderId="9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</a:t>
            </a:r>
            <a:r>
              <a:rPr lang="en-US" baseline="0"/>
              <a:t> of the Basic SCR - 2024</a:t>
            </a:r>
            <a:endParaRPr lang="en-US"/>
          </a:p>
        </c:rich>
      </c:tx>
      <c:layout>
        <c:manualLayout>
          <c:xMode val="edge"/>
          <c:yMode val="edge"/>
          <c:x val="0.20531583087923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5-4032-A6F0-CE6EE73AF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5-4032-A6F0-CE6EE73AF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5-4032-A6F0-CE6EE73AF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5-4032-A6F0-CE6EE73AFD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'SCR Table'!$A$2:$A$5</c:f>
              <c:strCache>
                <c:ptCount val="4"/>
                <c:pt idx="0">
                  <c:v>Market</c:v>
                </c:pt>
                <c:pt idx="1">
                  <c:v>Counterparty Default</c:v>
                </c:pt>
                <c:pt idx="2">
                  <c:v>Life</c:v>
                </c:pt>
                <c:pt idx="3">
                  <c:v>Health</c:v>
                </c:pt>
              </c:strCache>
            </c:strRef>
          </c:cat>
          <c:val>
            <c:numRef>
              <c:f>'SCR Table'!$B$2:$B$5</c:f>
              <c:numCache>
                <c:formatCode>_(* #,##0.0_);_(* \(#,##0.0\);_(* "-"_);_(@_)</c:formatCode>
                <c:ptCount val="4"/>
                <c:pt idx="0">
                  <c:v>125.3</c:v>
                </c:pt>
                <c:pt idx="1">
                  <c:v>77.2</c:v>
                </c:pt>
                <c:pt idx="2">
                  <c:v>70.5</c:v>
                </c:pt>
                <c:pt idx="3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25-4032-A6F0-CE6EE73AFD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</a:t>
            </a:r>
            <a:r>
              <a:rPr lang="en-US" baseline="0"/>
              <a:t> of the Basic SCR - 2023</a:t>
            </a:r>
            <a:endParaRPr lang="en-US"/>
          </a:p>
        </c:rich>
      </c:tx>
      <c:layout>
        <c:manualLayout>
          <c:xMode val="edge"/>
          <c:yMode val="edge"/>
          <c:x val="0.20531583087923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45-46CB-9CA0-E6814ECA55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5-46CB-9CA0-E6814ECA5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45-46CB-9CA0-E6814ECA55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45-46CB-9CA0-E6814ECA5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'SCR Table'!$A$2:$A$5</c:f>
              <c:strCache>
                <c:ptCount val="4"/>
                <c:pt idx="0">
                  <c:v>Market</c:v>
                </c:pt>
                <c:pt idx="1">
                  <c:v>Counterparty Default</c:v>
                </c:pt>
                <c:pt idx="2">
                  <c:v>Life</c:v>
                </c:pt>
                <c:pt idx="3">
                  <c:v>Health</c:v>
                </c:pt>
              </c:strCache>
            </c:strRef>
          </c:cat>
          <c:val>
            <c:numRef>
              <c:f>'SCR Table'!$C$2:$C$5</c:f>
              <c:numCache>
                <c:formatCode>_(* #,##0.0_);_(* \(#,##0.0\);_(* "-"_);_(@_)</c:formatCode>
                <c:ptCount val="4"/>
                <c:pt idx="0">
                  <c:v>110.3</c:v>
                </c:pt>
                <c:pt idx="1">
                  <c:v>60.5</c:v>
                </c:pt>
                <c:pt idx="2">
                  <c:v>75.3</c:v>
                </c:pt>
                <c:pt idx="3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45-46CB-9CA0-E6814ECA55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175260</xdr:colOff>
      <xdr:row>13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8C586-1706-4049-81E9-05E9A8ACB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7</xdr:col>
      <xdr:colOff>175260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B25921-C45B-49D0-AF44-02311409D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F34-19CA-4005-A5F1-D0FE0ED00D2B}">
  <dimension ref="A1:H12"/>
  <sheetViews>
    <sheetView showGridLines="0" tabSelected="1" zoomScale="110" zoomScaleNormal="110" workbookViewId="0">
      <selection activeCell="D14" sqref="D14"/>
    </sheetView>
  </sheetViews>
  <sheetFormatPr defaultRowHeight="12" x14ac:dyDescent="0.25"/>
  <cols>
    <col min="1" max="1" width="22" style="4" customWidth="1"/>
    <col min="2" max="5" width="12.77734375" style="4" customWidth="1"/>
    <col min="6" max="16384" width="8.88671875" style="4"/>
  </cols>
  <sheetData>
    <row r="1" spans="1:8" ht="18" customHeight="1" x14ac:dyDescent="0.25">
      <c r="A1" s="1" t="s">
        <v>4</v>
      </c>
      <c r="B1" s="2">
        <v>2026</v>
      </c>
      <c r="C1" s="2">
        <v>2025</v>
      </c>
      <c r="D1" s="2" t="s">
        <v>5</v>
      </c>
      <c r="E1" s="3" t="s">
        <v>6</v>
      </c>
      <c r="H1" s="5"/>
    </row>
    <row r="2" spans="1:8" x14ac:dyDescent="0.25">
      <c r="A2" s="6" t="s">
        <v>9</v>
      </c>
      <c r="B2" s="13">
        <v>125.3</v>
      </c>
      <c r="C2" s="13">
        <v>110.3</v>
      </c>
      <c r="D2" s="13">
        <f>B2-C2</f>
        <v>15</v>
      </c>
      <c r="E2" s="7">
        <f>IF(C2=0,0,D2/C2)</f>
        <v>0.13599274705349049</v>
      </c>
    </row>
    <row r="3" spans="1:8" x14ac:dyDescent="0.25">
      <c r="A3" s="6" t="s">
        <v>10</v>
      </c>
      <c r="B3" s="13">
        <v>77.2</v>
      </c>
      <c r="C3" s="13">
        <v>60.5</v>
      </c>
      <c r="D3" s="13">
        <f t="shared" ref="D3:D10" si="0">B3-C3</f>
        <v>16.700000000000003</v>
      </c>
      <c r="E3" s="7">
        <f t="shared" ref="E3:E10" si="1">IF(C3=0,0,D3/C3)</f>
        <v>0.27603305785123972</v>
      </c>
    </row>
    <row r="4" spans="1:8" x14ac:dyDescent="0.25">
      <c r="A4" s="6" t="s">
        <v>11</v>
      </c>
      <c r="B4" s="13">
        <v>70.5</v>
      </c>
      <c r="C4" s="13">
        <v>75.3</v>
      </c>
      <c r="D4" s="13">
        <f t="shared" si="0"/>
        <v>-4.7999999999999972</v>
      </c>
      <c r="E4" s="7">
        <f t="shared" si="1"/>
        <v>-6.3745019920318696E-2</v>
      </c>
    </row>
    <row r="5" spans="1:8" x14ac:dyDescent="0.25">
      <c r="A5" s="6" t="s">
        <v>12</v>
      </c>
      <c r="B5" s="13">
        <v>55.5</v>
      </c>
      <c r="C5" s="13">
        <v>62.2</v>
      </c>
      <c r="D5" s="13">
        <f t="shared" si="0"/>
        <v>-6.7000000000000028</v>
      </c>
      <c r="E5" s="7">
        <f t="shared" si="1"/>
        <v>-0.10771704180064312</v>
      </c>
    </row>
    <row r="6" spans="1:8" x14ac:dyDescent="0.25">
      <c r="A6" s="6" t="s">
        <v>0</v>
      </c>
      <c r="B6" s="13">
        <v>-66</v>
      </c>
      <c r="C6" s="13">
        <v>-61.7</v>
      </c>
      <c r="D6" s="13">
        <f t="shared" si="0"/>
        <v>-4.2999999999999972</v>
      </c>
      <c r="E6" s="7">
        <f t="shared" si="1"/>
        <v>6.9692058346839503E-2</v>
      </c>
    </row>
    <row r="7" spans="1:8" x14ac:dyDescent="0.25">
      <c r="A7" s="8" t="s">
        <v>1</v>
      </c>
      <c r="B7" s="14">
        <f>SUM(B2:B6)</f>
        <v>262.5</v>
      </c>
      <c r="C7" s="14">
        <f>SUM(C2:C6)</f>
        <v>246.60000000000002</v>
      </c>
      <c r="D7" s="14">
        <f t="shared" si="0"/>
        <v>15.899999999999977</v>
      </c>
      <c r="E7" s="9">
        <f t="shared" si="1"/>
        <v>6.4476885644768764E-2</v>
      </c>
    </row>
    <row r="8" spans="1:8" x14ac:dyDescent="0.25">
      <c r="A8" s="6" t="s">
        <v>2</v>
      </c>
      <c r="B8" s="13">
        <v>23.5</v>
      </c>
      <c r="C8" s="13">
        <v>21.5</v>
      </c>
      <c r="D8" s="13">
        <f t="shared" si="0"/>
        <v>2</v>
      </c>
      <c r="E8" s="7">
        <f t="shared" si="1"/>
        <v>9.3023255813953487E-2</v>
      </c>
    </row>
    <row r="9" spans="1:8" x14ac:dyDescent="0.25">
      <c r="A9" s="6" t="s">
        <v>13</v>
      </c>
      <c r="B9" s="13">
        <v>-35</v>
      </c>
      <c r="C9" s="13">
        <v>-33.5</v>
      </c>
      <c r="D9" s="13">
        <f t="shared" si="0"/>
        <v>-1.5</v>
      </c>
      <c r="E9" s="7">
        <f t="shared" si="1"/>
        <v>4.4776119402985072E-2</v>
      </c>
    </row>
    <row r="10" spans="1:8" x14ac:dyDescent="0.25">
      <c r="A10" s="8" t="s">
        <v>3</v>
      </c>
      <c r="B10" s="14">
        <f>SUM(B7:B9)</f>
        <v>251</v>
      </c>
      <c r="C10" s="14">
        <f>SUM(C7:C9)</f>
        <v>234.60000000000002</v>
      </c>
      <c r="D10" s="14">
        <f t="shared" si="0"/>
        <v>16.399999999999977</v>
      </c>
      <c r="E10" s="9">
        <f t="shared" si="1"/>
        <v>6.9906223358908684E-2</v>
      </c>
    </row>
    <row r="11" spans="1:8" x14ac:dyDescent="0.25">
      <c r="A11" s="8" t="s">
        <v>7</v>
      </c>
      <c r="B11" s="14">
        <v>362.2</v>
      </c>
      <c r="C11" s="14">
        <v>333.3</v>
      </c>
      <c r="D11" s="15">
        <f t="shared" ref="D11" si="2">B11-C11</f>
        <v>28.899999999999977</v>
      </c>
      <c r="E11" s="10">
        <f t="shared" ref="E11" si="3">IF(C11=0,0,D11/C11)</f>
        <v>8.670867086708664E-2</v>
      </c>
    </row>
    <row r="12" spans="1:8" x14ac:dyDescent="0.25">
      <c r="A12" s="8" t="s">
        <v>8</v>
      </c>
      <c r="B12" s="11">
        <f>B11/B10</f>
        <v>1.4430278884462151</v>
      </c>
      <c r="C12" s="11">
        <f>C11/C10</f>
        <v>1.4207161125319692</v>
      </c>
      <c r="D12" s="12">
        <f t="shared" ref="D12" si="4">B12-C12</f>
        <v>2.2311775914245935E-2</v>
      </c>
      <c r="E12" s="10">
        <f t="shared" ref="E12" si="5">IF(C12=0,0,D12/C12)</f>
        <v>1.5704598348281119E-2</v>
      </c>
    </row>
  </sheetData>
  <pageMargins left="0.7" right="0.7" top="0.75" bottom="0.75" header="0.3" footer="0.3"/>
  <pageSetup orientation="portrait" horizontalDpi="4294967293" verticalDpi="0" r:id="rId1"/>
  <ignoredErrors>
    <ignoredError sqref="B7:C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D88A-9D6F-43B2-A264-0771E03793F4}">
  <dimension ref="A1"/>
  <sheetViews>
    <sheetView workbookViewId="0">
      <selection activeCell="B16" sqref="B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Zaupper</dc:creator>
  <cp:lastModifiedBy>Bence Zaupper (Finalyse)</cp:lastModifiedBy>
  <dcterms:created xsi:type="dcterms:W3CDTF">2025-03-12T07:11:37Z</dcterms:created>
  <dcterms:modified xsi:type="dcterms:W3CDTF">2025-04-03T00:05:56Z</dcterms:modified>
</cp:coreProperties>
</file>